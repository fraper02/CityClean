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VMy/8Sop/xhJzbAEZ1dM2qLGW8zzdv/eBTKEmbnUIU="/>
    </ext>
  </extLst>
</workbook>
</file>

<file path=xl/sharedStrings.xml><?xml version="1.0" encoding="utf-8"?>
<sst xmlns="http://schemas.openxmlformats.org/spreadsheetml/2006/main" count="64" uniqueCount="51">
  <si>
    <t>Financial Analysis for CityClean</t>
  </si>
  <si>
    <t>Created by: Francesco Perilli, Antonio Ferrentino</t>
  </si>
  <si>
    <t>Date: 24/10/2025</t>
  </si>
  <si>
    <t>Discount rate</t>
  </si>
  <si>
    <t>Assume the project is completed in Year 0</t>
  </si>
  <si>
    <t>Year</t>
  </si>
  <si>
    <t>Total</t>
  </si>
  <si>
    <t>Costs</t>
  </si>
  <si>
    <t>Discount factor</t>
  </si>
  <si>
    <t>Discounted costs</t>
  </si>
  <si>
    <t>Benefits</t>
  </si>
  <si>
    <t>Discounted benefits</t>
  </si>
  <si>
    <t>Discounted benefits - costs</t>
  </si>
  <si>
    <t>NPV</t>
  </si>
  <si>
    <t>Cumulative benefits - costs</t>
  </si>
  <si>
    <t>ROI</t>
  </si>
  <si>
    <t>Payback in Year 2</t>
  </si>
  <si>
    <t>Assumptions</t>
  </si>
  <si>
    <t>Assumiamo che i comuni si dimostrino molto interessati al sistema e che non disdicano la licenza annuale.</t>
  </si>
  <si>
    <t>Project Costs</t>
  </si>
  <si>
    <t>Resources</t>
  </si>
  <si>
    <t>Cost/Hour</t>
  </si>
  <si>
    <t>Hour</t>
  </si>
  <si>
    <t>Project Manager</t>
  </si>
  <si>
    <t>Sviluppatore Mobile</t>
  </si>
  <si>
    <t>UI/UX Designer</t>
  </si>
  <si>
    <t>Backend Developer</t>
  </si>
  <si>
    <t>QA/Tester</t>
  </si>
  <si>
    <t>Total Project Costs (Anno 0)</t>
  </si>
  <si>
    <t>Risk managemente Costs</t>
  </si>
  <si>
    <t>Contingency Cost</t>
  </si>
  <si>
    <t>Management Cost</t>
  </si>
  <si>
    <t>Project Costs (Anno 1)</t>
  </si>
  <si>
    <t>Assumiamo che il costo di manutenzione sia lo stesso per gli anni successivi</t>
  </si>
  <si>
    <t>Sviluppatore Mobile (Manutenzione)</t>
  </si>
  <si>
    <t>Help Desk e Supporto</t>
  </si>
  <si>
    <t>Formatore e Comunicazione</t>
  </si>
  <si>
    <t>Licenze (Store Google/Apple, tools)</t>
  </si>
  <si>
    <t>Infrastrutture (Server, DB, Cloud)</t>
  </si>
  <si>
    <t>Total Project Cost (Anno 1)</t>
  </si>
  <si>
    <t>Numero</t>
  </si>
  <si>
    <t>Costo</t>
  </si>
  <si>
    <t>Totale</t>
  </si>
  <si>
    <t>Licenze attive (Anno 1)</t>
  </si>
  <si>
    <t>1 CG, 2 CM, 4 CP</t>
  </si>
  <si>
    <t>15.000, 10.000, 5.000</t>
  </si>
  <si>
    <t>Licenze attive (Anno 2)</t>
  </si>
  <si>
    <t>2 CG, 4 CM, 6 CP</t>
  </si>
  <si>
    <t>Licenze attive (Anno 3)</t>
  </si>
  <si>
    <t>3 CG, 6 CM, 8 CP</t>
  </si>
  <si>
    <t>Total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</si>
</sst>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-* #,##0\ &quot;€&quot;_-;\-* #,##0\ &quot;€&quot;_-;_-* &quot;-&quot;\ &quot;€&quot;_-;_-@"/>
    <numFmt numFmtId="166" formatCode="[$€-2]\ #,##0.00"/>
    <numFmt numFmtId="167" formatCode="#,##0\ &quot;€&quot;"/>
  </numFmts>
  <fonts count="11">
    <font>
      <sz val="10.0"/>
      <color rgb="FF000000"/>
      <name val="Calibri"/>
      <scheme val="minor"/>
    </font>
    <font>
      <b/>
      <sz val="18.0"/>
      <color theme="1"/>
      <name val="Arial"/>
    </font>
    <font>
      <b/>
      <sz val="12.0"/>
      <color theme="1"/>
      <name val="Arial"/>
    </font>
    <font>
      <sz val="12.0"/>
      <color theme="1"/>
      <name val="New York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B050"/>
      <name val="Arial"/>
    </font>
    <font>
      <color theme="1"/>
      <name val="Calibri"/>
      <scheme val="minor"/>
    </font>
    <font>
      <b/>
      <sz val="10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6" numFmtId="10" xfId="0" applyFont="1" applyNumberFormat="1"/>
    <xf borderId="0" fillId="0" fontId="5" numFmtId="9" xfId="0" applyFont="1" applyNumberFormat="1"/>
    <xf borderId="0" fillId="0" fontId="7" numFmtId="0" xfId="0" applyFont="1"/>
    <xf borderId="0" fillId="0" fontId="6" numFmtId="0" xfId="0" applyFont="1"/>
    <xf borderId="0" fillId="0" fontId="6" numFmtId="3" xfId="0" applyAlignment="1" applyFont="1" applyNumberFormat="1">
      <alignment readingOrder="0"/>
    </xf>
    <xf borderId="0" fillId="0" fontId="4" numFmtId="2" xfId="0" applyFont="1" applyNumberFormat="1"/>
    <xf borderId="0" fillId="0" fontId="5" numFmtId="164" xfId="0" applyFont="1" applyNumberFormat="1"/>
    <xf borderId="0" fillId="0" fontId="6" numFmtId="37" xfId="0" applyFont="1" applyNumberFormat="1"/>
    <xf borderId="0" fillId="0" fontId="6" numFmtId="37" xfId="0" applyAlignment="1" applyFont="1" applyNumberFormat="1">
      <alignment readingOrder="0"/>
    </xf>
    <xf borderId="0" fillId="0" fontId="4" numFmtId="164" xfId="0" applyFont="1" applyNumberForma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8" numFmtId="49" xfId="0" applyBorder="1" applyFill="1" applyFont="1" applyNumberFormat="1"/>
    <xf borderId="1" fillId="2" fontId="8" numFmtId="49" xfId="0" applyAlignment="1" applyBorder="1" applyFont="1" applyNumberFormat="1">
      <alignment horizontal="center"/>
    </xf>
    <xf borderId="1" fillId="0" fontId="8" numFmtId="49" xfId="0" applyAlignment="1" applyBorder="1" applyFont="1" applyNumberFormat="1">
      <alignment horizontal="center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4" numFmtId="3" xfId="0" applyFont="1" applyNumberFormat="1"/>
    <xf borderId="0" fillId="0" fontId="5" numFmtId="165" xfId="0" applyFont="1" applyNumberFormat="1"/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1" fillId="0" fontId="9" numFmtId="0" xfId="0" applyAlignment="1" applyBorder="1" applyFont="1">
      <alignment horizontal="center" readingOrder="0"/>
    </xf>
    <xf borderId="0" fillId="0" fontId="10" numFmtId="166" xfId="0" applyFont="1" applyNumberFormat="1"/>
    <xf borderId="0" fillId="0" fontId="9" numFmtId="166" xfId="0" applyFont="1" applyNumberFormat="1"/>
    <xf borderId="0" fillId="0" fontId="4" numFmtId="0" xfId="0" applyAlignment="1" applyFont="1">
      <alignment readingOrder="0"/>
    </xf>
    <xf borderId="0" fillId="0" fontId="5" numFmtId="167" xfId="0" applyFont="1" applyNumberFormat="1"/>
    <xf borderId="0" fillId="0" fontId="4" numFmtId="3" xfId="0" applyAlignment="1" applyFont="1" applyNumberFormat="1">
      <alignment readingOrder="0"/>
    </xf>
    <xf borderId="0" fillId="0" fontId="4" numFmtId="3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66675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3" name="Shape 3"/>
          <xdr:cNvCxnSpPr/>
        </xdr:nvCxnSpPr>
        <xdr:spPr>
          <a:xfrm rot="10800000"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428625</xdr:colOff>
      <xdr:row>18</xdr:row>
      <xdr:rowOff>57150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4" name="Shape 4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352425</xdr:colOff>
      <xdr:row>19</xdr:row>
      <xdr:rowOff>66675</xdr:rowOff>
    </xdr:from>
    <xdr:ext cx="2019300" cy="38100"/>
    <xdr:grpSp>
      <xdr:nvGrpSpPr>
        <xdr:cNvPr id="2" name="Shape 2"/>
        <xdr:cNvGrpSpPr/>
      </xdr:nvGrpSpPr>
      <xdr:grpSpPr>
        <a:xfrm>
          <a:off x="4336350" y="3780000"/>
          <a:ext cx="2019300" cy="0"/>
          <a:chOff x="4336350" y="3780000"/>
          <a:chExt cx="2019300" cy="0"/>
        </a:xfrm>
      </xdr:grpSpPr>
      <xdr:cxnSp>
        <xdr:nvCxnSpPr>
          <xdr:cNvPr id="5" name="Shape 5"/>
          <xdr:cNvCxnSpPr/>
        </xdr:nvCxnSpPr>
        <xdr:spPr>
          <a:xfrm>
            <a:off x="4336350" y="3780000"/>
            <a:ext cx="2019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57"/>
    <col customWidth="1" min="3" max="3" width="19.29"/>
    <col customWidth="1" min="4" max="4" width="11.29"/>
    <col customWidth="1" min="5" max="5" width="10.29"/>
    <col customWidth="1" min="6" max="6" width="13.29"/>
    <col customWidth="1" min="7" max="26" width="8.71"/>
  </cols>
  <sheetData>
    <row r="1" ht="12.75" customHeight="1">
      <c r="A1" s="1" t="s">
        <v>0</v>
      </c>
    </row>
    <row r="2" ht="12.75" customHeight="1">
      <c r="A2" s="2" t="s">
        <v>1</v>
      </c>
      <c r="B2" s="2"/>
      <c r="C2" s="2" t="s">
        <v>2</v>
      </c>
      <c r="D2" s="1"/>
      <c r="E2" s="1"/>
      <c r="F2" s="1"/>
      <c r="G2" s="1"/>
    </row>
    <row r="3" ht="30.0" customHeight="1">
      <c r="A3" s="3"/>
    </row>
    <row r="4" ht="12.75" customHeight="1">
      <c r="A4" s="4"/>
      <c r="B4" s="4"/>
      <c r="C4" s="4"/>
      <c r="D4" s="4"/>
      <c r="E4" s="4"/>
      <c r="F4" s="4"/>
      <c r="G4" s="4"/>
    </row>
    <row r="5" ht="12.75" customHeight="1">
      <c r="A5" s="5" t="s">
        <v>3</v>
      </c>
      <c r="B5" s="6">
        <v>0.05</v>
      </c>
    </row>
    <row r="6" ht="12.75" customHeight="1">
      <c r="A6" s="5"/>
      <c r="B6" s="7"/>
    </row>
    <row r="7" ht="12.75" customHeight="1">
      <c r="A7" s="8" t="s">
        <v>4</v>
      </c>
      <c r="D7" s="5" t="s">
        <v>5</v>
      </c>
      <c r="F7" s="5"/>
    </row>
    <row r="8" ht="12.75" customHeight="1">
      <c r="B8" s="9">
        <v>0.0</v>
      </c>
      <c r="C8" s="9">
        <v>1.0</v>
      </c>
      <c r="D8" s="9">
        <v>2.0</v>
      </c>
      <c r="E8" s="9">
        <v>3.0</v>
      </c>
      <c r="F8" s="5" t="s">
        <v>6</v>
      </c>
    </row>
    <row r="9" ht="12.75" customHeight="1">
      <c r="A9" s="8" t="s">
        <v>7</v>
      </c>
      <c r="B9" s="10">
        <f>F39</f>
        <v>47006.25</v>
      </c>
      <c r="C9" s="10">
        <f>F53</f>
        <v>27850</v>
      </c>
      <c r="D9" s="10">
        <f>F53</f>
        <v>27850</v>
      </c>
      <c r="E9" s="10">
        <f>F53</f>
        <v>27850</v>
      </c>
    </row>
    <row r="10" ht="12.75" customHeight="1">
      <c r="A10" s="8" t="s">
        <v>8</v>
      </c>
      <c r="B10" s="11">
        <f t="shared" ref="B10:E10" si="1">ROUND(1/(1+$B$5)^B$8,2)</f>
        <v>1</v>
      </c>
      <c r="C10" s="11">
        <f t="shared" si="1"/>
        <v>0.95</v>
      </c>
      <c r="D10" s="11">
        <f t="shared" si="1"/>
        <v>0.91</v>
      </c>
      <c r="E10" s="11">
        <f t="shared" si="1"/>
        <v>0.86</v>
      </c>
    </row>
    <row r="11" ht="12.75" customHeight="1">
      <c r="A11" s="5" t="s">
        <v>9</v>
      </c>
      <c r="B11" s="12">
        <f t="shared" ref="B11:E11" si="2">B9*B10</f>
        <v>47006.25</v>
      </c>
      <c r="C11" s="12">
        <f t="shared" si="2"/>
        <v>26457.5</v>
      </c>
      <c r="D11" s="12">
        <f t="shared" si="2"/>
        <v>25343.5</v>
      </c>
      <c r="E11" s="12">
        <f t="shared" si="2"/>
        <v>23951</v>
      </c>
      <c r="F11" s="12">
        <f>SUM(B11:E11)</f>
        <v>122758.25</v>
      </c>
    </row>
    <row r="12" ht="12.75" customHeight="1"/>
    <row r="13" ht="12.75" customHeight="1">
      <c r="A13" s="8" t="s">
        <v>10</v>
      </c>
      <c r="B13" s="13">
        <v>0.0</v>
      </c>
      <c r="C13" s="14">
        <f>D58</f>
        <v>55000</v>
      </c>
      <c r="D13" s="14">
        <f>D59</f>
        <v>100000</v>
      </c>
      <c r="E13" s="14">
        <f>D60</f>
        <v>145000</v>
      </c>
    </row>
    <row r="14" ht="12.75" customHeight="1">
      <c r="A14" s="8" t="s">
        <v>8</v>
      </c>
      <c r="B14" s="11">
        <f t="shared" ref="B14:E14" si="3">ROUND(1/(1+$B$5)^B$8,2)</f>
        <v>1</v>
      </c>
      <c r="C14" s="11">
        <f t="shared" si="3"/>
        <v>0.95</v>
      </c>
      <c r="D14" s="11">
        <f t="shared" si="3"/>
        <v>0.91</v>
      </c>
      <c r="E14" s="11">
        <f t="shared" si="3"/>
        <v>0.86</v>
      </c>
    </row>
    <row r="15" ht="12.75" customHeight="1">
      <c r="A15" s="5" t="s">
        <v>11</v>
      </c>
      <c r="B15" s="5">
        <f t="shared" ref="B15:E15" si="4">B13*B14</f>
        <v>0</v>
      </c>
      <c r="C15" s="12">
        <f t="shared" si="4"/>
        <v>52250</v>
      </c>
      <c r="D15" s="12">
        <f t="shared" si="4"/>
        <v>91000</v>
      </c>
      <c r="E15" s="12">
        <f t="shared" si="4"/>
        <v>124700</v>
      </c>
      <c r="F15" s="12">
        <f>SUM(B15:E15)</f>
        <v>267950</v>
      </c>
    </row>
    <row r="16" ht="12.75" customHeight="1"/>
    <row r="17" ht="12.75" customHeight="1">
      <c r="A17" s="8" t="s">
        <v>12</v>
      </c>
      <c r="B17" s="15">
        <f t="shared" ref="B17:F17" si="5">B15-B11</f>
        <v>-47006.25</v>
      </c>
      <c r="C17" s="15">
        <f t="shared" si="5"/>
        <v>25792.5</v>
      </c>
      <c r="D17" s="15">
        <f t="shared" si="5"/>
        <v>65656.5</v>
      </c>
      <c r="E17" s="15">
        <f t="shared" si="5"/>
        <v>100749</v>
      </c>
      <c r="F17" s="12">
        <f t="shared" si="5"/>
        <v>145191.75</v>
      </c>
      <c r="G17" s="16" t="s">
        <v>13</v>
      </c>
    </row>
    <row r="18" ht="12.75" customHeight="1">
      <c r="A18" s="8" t="s">
        <v>14</v>
      </c>
      <c r="B18" s="15">
        <f>B17</f>
        <v>-47006.25</v>
      </c>
      <c r="C18" s="15">
        <f t="shared" ref="C18:E18" si="6">B18+C17</f>
        <v>-21213.75</v>
      </c>
      <c r="D18" s="15">
        <f t="shared" si="6"/>
        <v>44442.75</v>
      </c>
      <c r="E18" s="15">
        <f t="shared" si="6"/>
        <v>145191.75</v>
      </c>
    </row>
    <row r="19" ht="12.75" customHeight="1"/>
    <row r="20" ht="12.75" customHeight="1">
      <c r="A20" s="5" t="s">
        <v>15</v>
      </c>
      <c r="B20" s="7">
        <f>(F15-F11)/F11</f>
        <v>1.182745355</v>
      </c>
    </row>
    <row r="21" ht="12.75" customHeight="1">
      <c r="B21" s="17" t="s">
        <v>16</v>
      </c>
    </row>
    <row r="22" ht="12.75" customHeight="1">
      <c r="A22" s="5" t="s">
        <v>17</v>
      </c>
    </row>
    <row r="23" ht="12.75" customHeight="1">
      <c r="A23" s="18" t="s">
        <v>18</v>
      </c>
    </row>
    <row r="24" ht="12.75" customHeight="1"/>
    <row r="25" ht="12.75" customHeight="1">
      <c r="A25" s="5" t="s">
        <v>19</v>
      </c>
    </row>
    <row r="26" ht="12.75" customHeight="1"/>
    <row r="27" ht="12.75" customHeight="1">
      <c r="A27" s="19" t="s">
        <v>7</v>
      </c>
      <c r="B27" s="20" t="s">
        <v>20</v>
      </c>
      <c r="C27" s="20" t="s">
        <v>21</v>
      </c>
      <c r="D27" s="20" t="s">
        <v>22</v>
      </c>
      <c r="F27" s="21" t="s">
        <v>6</v>
      </c>
    </row>
    <row r="28" ht="12.75" customHeight="1">
      <c r="A28" s="22" t="s">
        <v>23</v>
      </c>
      <c r="B28" s="8">
        <v>1.0</v>
      </c>
      <c r="C28" s="23">
        <v>20.0</v>
      </c>
      <c r="D28" s="8">
        <v>420.0</v>
      </c>
      <c r="F28" s="24">
        <f t="shared" ref="F28:F32" si="7">PRODUCT(C28,D28)</f>
        <v>8400</v>
      </c>
    </row>
    <row r="29" ht="12.75" customHeight="1">
      <c r="A29" s="22" t="s">
        <v>24</v>
      </c>
      <c r="B29" s="8">
        <v>1.0</v>
      </c>
      <c r="C29" s="23">
        <v>15.0</v>
      </c>
      <c r="D29" s="8">
        <v>660.0</v>
      </c>
      <c r="F29" s="24">
        <f t="shared" si="7"/>
        <v>9900</v>
      </c>
    </row>
    <row r="30" ht="12.75" customHeight="1">
      <c r="A30" s="22" t="s">
        <v>25</v>
      </c>
      <c r="B30" s="8">
        <v>1.0</v>
      </c>
      <c r="C30" s="23">
        <v>15.0</v>
      </c>
      <c r="D30" s="8">
        <v>480.0</v>
      </c>
      <c r="F30" s="24">
        <f t="shared" si="7"/>
        <v>7200</v>
      </c>
    </row>
    <row r="31" ht="12.75" customHeight="1">
      <c r="A31" s="22" t="s">
        <v>26</v>
      </c>
      <c r="B31" s="8">
        <v>1.0</v>
      </c>
      <c r="C31" s="23">
        <v>15.0</v>
      </c>
      <c r="D31" s="8">
        <v>550.0</v>
      </c>
      <c r="F31" s="24">
        <f t="shared" si="7"/>
        <v>8250</v>
      </c>
    </row>
    <row r="32" ht="12.75" customHeight="1">
      <c r="A32" s="22" t="s">
        <v>27</v>
      </c>
      <c r="B32" s="8">
        <v>1.0</v>
      </c>
      <c r="C32" s="23">
        <v>15.0</v>
      </c>
      <c r="D32" s="8">
        <v>475.0</v>
      </c>
      <c r="F32" s="24">
        <f t="shared" si="7"/>
        <v>7125</v>
      </c>
    </row>
    <row r="33" ht="12.75" customHeight="1">
      <c r="F33" s="24"/>
    </row>
    <row r="34" ht="12.75" customHeight="1">
      <c r="A34" s="5" t="s">
        <v>28</v>
      </c>
      <c r="F34" s="25">
        <f>SUM(F28:F32)</f>
        <v>40875</v>
      </c>
    </row>
    <row r="35" ht="12.75" customHeight="1">
      <c r="A35" s="26"/>
    </row>
    <row r="36" ht="12.75" customHeight="1"/>
    <row r="37" ht="12.75" customHeight="1">
      <c r="A37" s="27" t="s">
        <v>29</v>
      </c>
      <c r="B37" s="28"/>
      <c r="C37" s="28"/>
      <c r="D37" s="28"/>
      <c r="E37" s="28"/>
      <c r="F37" s="28"/>
    </row>
    <row r="38" ht="12.75" customHeight="1">
      <c r="A38" s="29" t="s">
        <v>30</v>
      </c>
      <c r="B38" s="29" t="s">
        <v>31</v>
      </c>
      <c r="C38" s="28"/>
      <c r="D38" s="28"/>
      <c r="E38" s="28"/>
      <c r="F38" s="29" t="s">
        <v>6</v>
      </c>
    </row>
    <row r="39" ht="12.75" customHeight="1">
      <c r="A39" s="30">
        <f>1/10*F34</f>
        <v>4087.5</v>
      </c>
      <c r="B39" s="30">
        <f>5/100*F34</f>
        <v>2043.75</v>
      </c>
      <c r="C39" s="28"/>
      <c r="D39" s="28"/>
      <c r="E39" s="28"/>
      <c r="F39" s="31">
        <f>SUM(F34+A39+B39)</f>
        <v>47006.25</v>
      </c>
    </row>
    <row r="40" ht="12.75" customHeight="1"/>
    <row r="41" ht="12.75" customHeight="1"/>
    <row r="42" ht="12.75" customHeight="1">
      <c r="A42" s="5" t="s">
        <v>32</v>
      </c>
      <c r="B42" s="18" t="s">
        <v>33</v>
      </c>
    </row>
    <row r="43" ht="12.75" customHeight="1"/>
    <row r="44" ht="12.75" customHeight="1"/>
    <row r="45" ht="12.75" customHeight="1">
      <c r="A45" s="19" t="s">
        <v>7</v>
      </c>
      <c r="B45" s="20" t="s">
        <v>20</v>
      </c>
      <c r="C45" s="20" t="s">
        <v>21</v>
      </c>
      <c r="D45" s="20" t="s">
        <v>22</v>
      </c>
      <c r="F45" s="21" t="s">
        <v>6</v>
      </c>
    </row>
    <row r="46" ht="12.75" customHeight="1">
      <c r="A46" s="22" t="s">
        <v>23</v>
      </c>
      <c r="B46" s="8">
        <v>1.0</v>
      </c>
      <c r="C46" s="23">
        <v>20.0</v>
      </c>
      <c r="D46" s="8">
        <v>220.0</v>
      </c>
      <c r="F46" s="24">
        <f t="shared" ref="F46:F49" si="8">PRODUCT(C46,D46)</f>
        <v>4400</v>
      </c>
    </row>
    <row r="47" ht="12.75" customHeight="1">
      <c r="A47" s="22" t="s">
        <v>34</v>
      </c>
      <c r="B47" s="8">
        <v>1.0</v>
      </c>
      <c r="C47" s="23">
        <v>15.0</v>
      </c>
      <c r="D47" s="8">
        <v>600.0</v>
      </c>
      <c r="F47" s="24">
        <f t="shared" si="8"/>
        <v>9000</v>
      </c>
    </row>
    <row r="48" ht="12.75" customHeight="1">
      <c r="A48" s="22" t="s">
        <v>35</v>
      </c>
      <c r="B48" s="8">
        <v>1.0</v>
      </c>
      <c r="C48" s="23">
        <v>15.0</v>
      </c>
      <c r="D48" s="8">
        <v>400.0</v>
      </c>
      <c r="F48" s="24">
        <f t="shared" si="8"/>
        <v>6000</v>
      </c>
    </row>
    <row r="49" ht="12.75" customHeight="1">
      <c r="A49" s="22" t="s">
        <v>36</v>
      </c>
      <c r="B49" s="8">
        <v>1.0</v>
      </c>
      <c r="C49" s="23">
        <v>15.0</v>
      </c>
      <c r="D49" s="8">
        <v>150.0</v>
      </c>
      <c r="F49" s="24">
        <f t="shared" si="8"/>
        <v>2250</v>
      </c>
    </row>
    <row r="50" ht="12.75" customHeight="1">
      <c r="A50" s="22" t="s">
        <v>37</v>
      </c>
      <c r="F50" s="24">
        <v>1200.0</v>
      </c>
    </row>
    <row r="51" ht="12.75" customHeight="1">
      <c r="A51" s="32" t="s">
        <v>38</v>
      </c>
      <c r="F51" s="24">
        <v>5000.0</v>
      </c>
    </row>
    <row r="52" ht="12.75" customHeight="1"/>
    <row r="53" ht="12.75" customHeight="1">
      <c r="A53" s="5" t="s">
        <v>39</v>
      </c>
      <c r="F53" s="33">
        <f>SUM(F46:F51)</f>
        <v>27850</v>
      </c>
    </row>
    <row r="54" ht="12.75" customHeight="1"/>
    <row r="55" ht="12.75" customHeight="1"/>
    <row r="56" ht="12.75" customHeight="1">
      <c r="A56" s="5" t="s">
        <v>10</v>
      </c>
    </row>
    <row r="57" ht="12.75" customHeight="1">
      <c r="B57" s="22" t="s">
        <v>40</v>
      </c>
      <c r="C57" s="22" t="s">
        <v>41</v>
      </c>
      <c r="D57" s="22" t="s">
        <v>42</v>
      </c>
    </row>
    <row r="58" ht="12.75" customHeight="1">
      <c r="A58" s="22" t="s">
        <v>43</v>
      </c>
      <c r="B58" s="23" t="s">
        <v>44</v>
      </c>
      <c r="C58" s="34" t="s">
        <v>45</v>
      </c>
      <c r="D58" s="35">
        <f>(1*15000)+(2*10000)+(4*5000)</f>
        <v>55000</v>
      </c>
    </row>
    <row r="59" ht="12.75" customHeight="1">
      <c r="A59" s="22" t="s">
        <v>46</v>
      </c>
      <c r="B59" s="23" t="s">
        <v>47</v>
      </c>
      <c r="C59" s="34" t="s">
        <v>45</v>
      </c>
      <c r="D59" s="35">
        <f>(2*15000)+(4*10000)+(6*5000)</f>
        <v>100000</v>
      </c>
    </row>
    <row r="60" ht="12.75" customHeight="1">
      <c r="A60" s="22" t="s">
        <v>48</v>
      </c>
      <c r="B60" s="23" t="s">
        <v>49</v>
      </c>
      <c r="C60" s="34" t="s">
        <v>45</v>
      </c>
      <c r="D60" s="35">
        <f>(3*15000)+(6*10000)+(8*5000)</f>
        <v>145000</v>
      </c>
    </row>
    <row r="61" ht="12.75" customHeight="1"/>
    <row r="62" ht="12.75" customHeight="1">
      <c r="A62" s="5" t="s">
        <v>50</v>
      </c>
      <c r="D62" s="33">
        <f>SUM(D58:D60)</f>
        <v>300000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G1"/>
    <mergeCell ref="A3:G3"/>
    <mergeCell ref="B21:D21"/>
    <mergeCell ref="A23:E23"/>
    <mergeCell ref="B42:F42"/>
  </mergeCells>
  <printOptions gridLines="1"/>
  <pageMargins bottom="1.5503937007874016" footer="0.0" header="0.0" left="0.75" right="1.22237017310253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2003-02-20T16:30:31Z</dcterms:created>
  <dc:creator>IT Department</dc:creator>
</cp:coreProperties>
</file>