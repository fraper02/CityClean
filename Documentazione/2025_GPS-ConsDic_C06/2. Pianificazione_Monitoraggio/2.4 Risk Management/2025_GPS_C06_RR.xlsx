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4"/>
    <sheet state="visible" name="TOP10" sheetId="2" r:id="rId5"/>
  </sheets>
  <definedNames/>
  <calcPr/>
  <extLst>
    <ext uri="GoogleSheetsCustomDataVersion2">
      <go:sheetsCustomData xmlns:go="http://customooxmlschemas.google.com/" r:id="rId6" roundtripDataChecksum="sviEv2M0iYkp8j9Uk83KJktCa4dSfsneeuAzIMu0A4A="/>
    </ext>
  </extLst>
</workbook>
</file>

<file path=xl/sharedStrings.xml><?xml version="1.0" encoding="utf-8"?>
<sst xmlns="http://schemas.openxmlformats.org/spreadsheetml/2006/main" count="410" uniqueCount="185">
  <si>
    <t>Nome Progetto</t>
  </si>
  <si>
    <t>CityClean</t>
  </si>
  <si>
    <t>SEZIONE</t>
  </si>
  <si>
    <t>VALORI/ACRONIMI</t>
  </si>
  <si>
    <t>Identificativo Progetto</t>
  </si>
  <si>
    <t>C06</t>
  </si>
  <si>
    <t>CATEGORIA</t>
  </si>
  <si>
    <t>TECNOLOGIE [T]</t>
  </si>
  <si>
    <t>PERSONE [P]</t>
  </si>
  <si>
    <t>ORGANIZZATIVI [O]</t>
  </si>
  <si>
    <t>REQUISITI [R]</t>
  </si>
  <si>
    <t>STIME [S]</t>
  </si>
  <si>
    <t>Project Managers</t>
  </si>
  <si>
    <t>Antonio Ferrentino</t>
  </si>
  <si>
    <t>IMPATTO</t>
  </si>
  <si>
    <t>TOLLERABILE [TOL], &lt; 30%</t>
  </si>
  <si>
    <t>MEDIO [MD], &lt; 70%</t>
  </si>
  <si>
    <t>CATASTROFICO [CAT], &gt; 70%</t>
  </si>
  <si>
    <t>Nome Team</t>
  </si>
  <si>
    <t>NuSpettacl</t>
  </si>
  <si>
    <t>STATO</t>
  </si>
  <si>
    <t>OPEN [OP]</t>
  </si>
  <si>
    <t>AZIONE URGENTE [URG]</t>
  </si>
  <si>
    <t>SOTTO CONTROLLO [CON]</t>
  </si>
  <si>
    <t>CLOSED [CLS]</t>
  </si>
  <si>
    <t>Documento</t>
  </si>
  <si>
    <t>Risk Register</t>
  </si>
  <si>
    <t>PROBABILITA'</t>
  </si>
  <si>
    <t>BASSA [L], &lt; 30%</t>
  </si>
  <si>
    <t>MEDIA [M], &lt; 70%</t>
  </si>
  <si>
    <t>ALTA [H], &gt; 70%</t>
  </si>
  <si>
    <t>ID</t>
  </si>
  <si>
    <t>NOME</t>
  </si>
  <si>
    <t>DESCRIZIONE</t>
  </si>
  <si>
    <t>CAUSA</t>
  </si>
  <si>
    <t>TRIGGER</t>
  </si>
  <si>
    <t>RANK</t>
  </si>
  <si>
    <t>PREVENZIONE</t>
  </si>
  <si>
    <t>CONTINGENZA</t>
  </si>
  <si>
    <t>PREFERENZA</t>
  </si>
  <si>
    <t>RISK OWNER</t>
  </si>
  <si>
    <t>R1</t>
  </si>
  <si>
    <t>Difficoltà apprendimento tecnologie</t>
  </si>
  <si>
    <t>Team con difficoltà ad apprendere nuove tecnologie</t>
  </si>
  <si>
    <t>T</t>
  </si>
  <si>
    <t>Scarsa familiarità tech</t>
  </si>
  <si>
    <t>Ritardi task e richieste aiuto</t>
  </si>
  <si>
    <t>Formazione, assegnare membri espserti ad attività critiche.</t>
  </si>
  <si>
    <t>Utilizzare tecnologie familiari, assumere consulenti esterni esperti.</t>
  </si>
  <si>
    <t>Contingenza</t>
  </si>
  <si>
    <t>Sotto Controllo</t>
  </si>
  <si>
    <t>R2</t>
  </si>
  <si>
    <t>Sovraccarico server</t>
  </si>
  <si>
    <t>Picchi durante eventi, malfunzionamenti improvvisi</t>
  </si>
  <si>
    <t>Traffico elevato, improvvisa assenza di connesione ai server</t>
  </si>
  <si>
    <t>Latenza alta, problemi di utilizzo dell'applicazione</t>
  </si>
  <si>
    <t>Stress test, utilizzo di server appropriati all'utilizzo dell'applicazione</t>
  </si>
  <si>
    <t>Scalabilità</t>
  </si>
  <si>
    <t>Open</t>
  </si>
  <si>
    <t>R3</t>
  </si>
  <si>
    <t>Violazioni GDPR</t>
  </si>
  <si>
    <t>Trattamento scorretto dei dati personali</t>
  </si>
  <si>
    <t>Implementazione errata</t>
  </si>
  <si>
    <t>Segnalazioni da parte degli utenti</t>
  </si>
  <si>
    <t>Revisione GDPR</t>
  </si>
  <si>
    <t>Disattivazione funzioni</t>
  </si>
  <si>
    <t>Prevenzione</t>
  </si>
  <si>
    <t>R4</t>
  </si>
  <si>
    <t>Bassa partecipazione</t>
  </si>
  <si>
    <t>Scarso uso app</t>
  </si>
  <si>
    <t>P</t>
  </si>
  <si>
    <t>Promozione insufficiente, poco interesse</t>
  </si>
  <si>
    <t>Pochi utenti attivi</t>
  </si>
  <si>
    <t>Campagna social</t>
  </si>
  <si>
    <t>Aumentare incentivi, maggiore pubblicità</t>
  </si>
  <si>
    <t>R5</t>
  </si>
  <si>
    <t>Conflitti team</t>
  </si>
  <si>
    <t>Divergenze interne</t>
  </si>
  <si>
    <t>Comunicazione scarsa, problemi intra-relazionali</t>
  </si>
  <si>
    <t>Ritardi, malcontenti, lamentele con PM</t>
  </si>
  <si>
    <t>Meeting regolari, mantenere alto il team working e mantenere un ambiente di laovoro sano e rispettoso</t>
  </si>
  <si>
    <t>Mediazione, risolvere eventuali conflitti</t>
  </si>
  <si>
    <t>R6</t>
  </si>
  <si>
    <t>Indisponibilità membri</t>
  </si>
  <si>
    <t>Assenze critiche</t>
  </si>
  <si>
    <t>Problemi personali, sovraccarico proveniente da altri lavori</t>
  </si>
  <si>
    <t>Task fermi, ritardi nelle consegne</t>
  </si>
  <si>
    <t>Pair programming</t>
  </si>
  <si>
    <t>Riassegnazione</t>
  </si>
  <si>
    <t>R7</t>
  </si>
  <si>
    <t>Calo motivazione TM</t>
  </si>
  <si>
    <t>Calo di motivazione di un TM</t>
  </si>
  <si>
    <t>Stress o disengagement</t>
  </si>
  <si>
    <t>Riduzione output, ritardi nelle consegne</t>
  </si>
  <si>
    <t>Coinvolgimento, saper stimolare il TM nell'ambito del progetto</t>
  </si>
  <si>
    <t xml:space="preserve">Affiancamento da parte di altri TM, assegnare Task che possano esaltarne le qualità e renderlo più produttivo </t>
  </si>
  <si>
    <t>R8</t>
  </si>
  <si>
    <t>Abbandono TM</t>
  </si>
  <si>
    <t>Abbandono di un TM</t>
  </si>
  <si>
    <t>Scarso interesse, problemi personali</t>
  </si>
  <si>
    <t>Assenze prolungate</t>
  </si>
  <si>
    <t>Distribuzione task</t>
  </si>
  <si>
    <t>R9</t>
  </si>
  <si>
    <t>Comunicazione inefficiente TM-PM</t>
  </si>
  <si>
    <t>Comunicazione inefficiente dei TM con i PM</t>
  </si>
  <si>
    <t>Scarsa comunicazione</t>
  </si>
  <si>
    <t>Task non aggiornati, eseguiti non correttamente</t>
  </si>
  <si>
    <t>Meeting frequenti, utilizzo corretto di canali di comunicazione</t>
  </si>
  <si>
    <t>Meeting più frequenti, adottare nuovo sistema di comunicazione</t>
  </si>
  <si>
    <t>R10</t>
  </si>
  <si>
    <t>Calo produttività</t>
  </si>
  <si>
    <t>Calo di produttività</t>
  </si>
  <si>
    <t>Stanchezza, task non adatti, carico di lavoro non corretto</t>
  </si>
  <si>
    <t>Output basso</t>
  </si>
  <si>
    <t>Task adeguati a livello di sforzo, da assegnare alle giuste persone</t>
  </si>
  <si>
    <t>Pair programming, riassegnazione</t>
  </si>
  <si>
    <t>R11</t>
  </si>
  <si>
    <t>Mancata conoscenza teoria</t>
  </si>
  <si>
    <t>Mancata conoscenza della teoria</t>
  </si>
  <si>
    <t>Gap formativi</t>
  </si>
  <si>
    <t>Errori frequenti</t>
  </si>
  <si>
    <t>Formazione</t>
  </si>
  <si>
    <t>Assegnare a esperti</t>
  </si>
  <si>
    <t>R12</t>
  </si>
  <si>
    <t>Ritardi Comune</t>
  </si>
  <si>
    <t>Risposte lente</t>
  </si>
  <si>
    <t>O</t>
  </si>
  <si>
    <t>Burocrazia</t>
  </si>
  <si>
    <t>Email senza risposta</t>
  </si>
  <si>
    <t>Referente unico</t>
  </si>
  <si>
    <t>Dati simulati</t>
  </si>
  <si>
    <t>R13</t>
  </si>
  <si>
    <t>Modifica requisiti</t>
  </si>
  <si>
    <t>Cambio richieste</t>
  </si>
  <si>
    <t>R</t>
  </si>
  <si>
    <t>Nuove esigenze</t>
  </si>
  <si>
    <t>Aggiornamenti da parte del cliente</t>
  </si>
  <si>
    <t>Freeze dei requisiti</t>
  </si>
  <si>
    <t>Piano dei requisiti futuri, ottima comunicazione tra stakeholders</t>
  </si>
  <si>
    <t>R14</t>
  </si>
  <si>
    <t>Requisiti ambigui</t>
  </si>
  <si>
    <t>Funzioni non chiare</t>
  </si>
  <si>
    <t>Brief generico</t>
  </si>
  <si>
    <t>Dubbi ricorrenti da parte di TM,PM e stakeholders</t>
  </si>
  <si>
    <t>Refinement</t>
  </si>
  <si>
    <t>MVP ridotto</t>
  </si>
  <si>
    <t>Closed</t>
  </si>
  <si>
    <t>R15</t>
  </si>
  <si>
    <t>Problemi accessibilità</t>
  </si>
  <si>
    <t>WCAG non rispettato</t>
  </si>
  <si>
    <t>Linee guida ignorate</t>
  </si>
  <si>
    <t>Feedback negativi</t>
  </si>
  <si>
    <t>Verifiche WCAG</t>
  </si>
  <si>
    <t>Patch correttive</t>
  </si>
  <si>
    <t>R16</t>
  </si>
  <si>
    <t>Premi insostenibili</t>
  </si>
  <si>
    <t>Partner non supportano l'iniziativa</t>
  </si>
  <si>
    <t>Adesione bassa</t>
  </si>
  <si>
    <t>Partner ritirati</t>
  </si>
  <si>
    <t>Limitare premi</t>
  </si>
  <si>
    <t xml:space="preserve">Riduzione premi (in caso limite), fornire nuovi stimoli agli utenti </t>
  </si>
  <si>
    <t>R17</t>
  </si>
  <si>
    <t>Sottostima tempo</t>
  </si>
  <si>
    <t>Tempo di completamento del progetto maggiore del previsto</t>
  </si>
  <si>
    <t>S</t>
  </si>
  <si>
    <t>Complessità alta del progetto, assegnato tempo non adeguato per il completamento del progetto</t>
  </si>
  <si>
    <t>Task lunghi, consegne in ritardo</t>
  </si>
  <si>
    <t>Studio del progetto con esperti, ottima organizzazione del lavoro</t>
  </si>
  <si>
    <t>Ridurre numero di task e funzioni del sistema per il MVP</t>
  </si>
  <si>
    <t>R18</t>
  </si>
  <si>
    <t>Testing insufficiente</t>
  </si>
  <si>
    <t>Testing effettuato non sufficiente, porta a molti bug al lancio dell'applicazione sul mercato.</t>
  </si>
  <si>
    <t>Molte funzionalità non testate</t>
  </si>
  <si>
    <t>Bug frequenti</t>
  </si>
  <si>
    <t>Test incrementali</t>
  </si>
  <si>
    <t>Fix urgenti</t>
  </si>
  <si>
    <t>R19</t>
  </si>
  <si>
    <t>Sottostima costi</t>
  </si>
  <si>
    <t>Costo di sviluppo del progetto maggiore del previsto</t>
  </si>
  <si>
    <t>Stime imprecise, costi imprevisti</t>
  </si>
  <si>
    <t>Superamento del budget assegnato, con annessa richiesta di ulteriori fondi.</t>
  </si>
  <si>
    <t>Effettuare stime dettagliate, prevedere un margine di contingenza del budget</t>
  </si>
  <si>
    <t>Rinegoziare il budget con gli stakeholder e i finanziatori</t>
  </si>
  <si>
    <t>Project Manager</t>
  </si>
  <si>
    <t>TOP 10 DEI RISCHI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</si>
</sst>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2.0"/>
      <color theme="1"/>
      <name val="Arial"/>
    </font>
    <font>
      <b/>
      <sz val="12.0"/>
      <color rgb="FFFFFFFF"/>
      <name val="Calibri"/>
    </font>
    <font>
      <b/>
      <sz val="11.0"/>
      <color theme="1"/>
      <name val="Arial"/>
    </font>
    <font>
      <b/>
      <sz val="14.0"/>
      <color rgb="FFFFFFFF"/>
      <name val="Arial"/>
    </font>
    <font>
      <b/>
      <sz val="14.0"/>
      <color theme="0"/>
      <name val="Arial"/>
    </font>
    <font>
      <sz val="14.0"/>
      <color theme="1"/>
      <name val="Arial"/>
    </font>
    <font>
      <b/>
      <sz val="14.0"/>
      <color theme="1"/>
      <name val="Arial"/>
    </font>
    <font>
      <sz val="10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6" fillId="2" fontId="1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9" fillId="0" fontId="2" numFmtId="0" xfId="0" applyBorder="1" applyFont="1"/>
    <xf borderId="5" fillId="2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readingOrder="0"/>
    </xf>
    <xf borderId="5" fillId="4" fontId="5" numFmtId="0" xfId="0" applyAlignment="1" applyBorder="1" applyFill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/>
    </xf>
    <xf borderId="13" fillId="0" fontId="2" numFmtId="0" xfId="0" applyBorder="1" applyFont="1"/>
    <xf borderId="12" fillId="3" fontId="3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5" fillId="2" fontId="6" numFmtId="0" xfId="0" applyAlignment="1" applyBorder="1" applyFont="1">
      <alignment horizontal="center" vertical="center"/>
    </xf>
    <xf borderId="5" fillId="2" fontId="7" numFmtId="0" xfId="0" applyAlignment="1" applyBorder="1" applyFont="1">
      <alignment vertical="top"/>
    </xf>
    <xf borderId="5" fillId="5" fontId="8" numFmtId="0" xfId="0" applyAlignment="1" applyBorder="1" applyFill="1" applyFont="1">
      <alignment vertical="top"/>
    </xf>
    <xf borderId="5" fillId="5" fontId="9" numFmtId="0" xfId="0" applyAlignment="1" applyBorder="1" applyFont="1">
      <alignment horizontal="center" vertical="top"/>
    </xf>
    <xf borderId="5" fillId="5" fontId="9" numFmtId="0" xfId="0" applyAlignment="1" applyBorder="1" applyFont="1">
      <alignment vertical="top"/>
    </xf>
    <xf borderId="5" fillId="5" fontId="8" numFmtId="0" xfId="0" applyAlignment="1" applyBorder="1" applyFont="1">
      <alignment readingOrder="0" vertical="top"/>
    </xf>
    <xf borderId="5" fillId="6" fontId="8" numFmtId="0" xfId="0" applyAlignment="1" applyBorder="1" applyFill="1" applyFont="1">
      <alignment vertical="top"/>
    </xf>
    <xf borderId="5" fillId="6" fontId="9" numFmtId="0" xfId="0" applyAlignment="1" applyBorder="1" applyFont="1">
      <alignment horizontal="center" vertical="top"/>
    </xf>
    <xf borderId="5" fillId="6" fontId="9" numFmtId="0" xfId="0" applyAlignment="1" applyBorder="1" applyFont="1">
      <alignment vertical="top"/>
    </xf>
    <xf borderId="0" fillId="0" fontId="10" numFmtId="0" xfId="0" applyFont="1"/>
    <xf borderId="5" fillId="0" fontId="8" numFmtId="0" xfId="0" applyAlignment="1" applyBorder="1" applyFont="1">
      <alignment vertical="top"/>
    </xf>
    <xf borderId="5" fillId="0" fontId="9" numFmtId="0" xfId="0" applyAlignment="1" applyBorder="1" applyFont="1">
      <alignment horizontal="center" vertical="top"/>
    </xf>
    <xf borderId="5" fillId="0" fontId="9" numFmtId="0" xfId="0" applyAlignment="1" applyBorder="1" applyFont="1">
      <alignment vertical="top"/>
    </xf>
    <xf borderId="5" fillId="6" fontId="8" numFmtId="0" xfId="0" applyAlignment="1" applyBorder="1" applyFont="1">
      <alignment readingOrder="0" vertical="top"/>
    </xf>
    <xf borderId="16" fillId="6" fontId="11" numFmtId="0" xfId="0" applyBorder="1" applyFont="1"/>
    <xf borderId="6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5" fillId="2" fontId="7" numFmtId="0" xfId="0" applyAlignment="1" applyBorder="1" applyFont="1">
      <alignment readingOrder="0" vertical="top"/>
    </xf>
    <xf borderId="5" fillId="5" fontId="9" numFmtId="0" xfId="0" applyAlignment="1" applyBorder="1" applyFont="1">
      <alignment horizontal="center" readingOrder="0" vertical="top"/>
    </xf>
    <xf borderId="5" fillId="5" fontId="9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5.14"/>
    <col customWidth="1" min="3" max="3" width="65.86"/>
    <col customWidth="1" min="4" max="4" width="17.86"/>
    <col customWidth="1" min="5" max="5" width="31.57"/>
    <col customWidth="1" min="6" max="6" width="35.0"/>
    <col customWidth="1" min="7" max="7" width="20.86"/>
    <col customWidth="1" min="8" max="8" width="14.14"/>
    <col customWidth="1" min="9" max="9" width="9.43"/>
    <col customWidth="1" min="10" max="10" width="39.14"/>
    <col customWidth="1" min="11" max="11" width="30.14"/>
    <col customWidth="1" min="12" max="12" width="27.43"/>
    <col customWidth="1" min="13" max="13" width="32.0"/>
    <col customWidth="1" min="14" max="14" width="22.14"/>
    <col customWidth="1" min="15" max="15" width="11.14"/>
    <col customWidth="1" min="16" max="35" width="8.71"/>
  </cols>
  <sheetData>
    <row r="2">
      <c r="B2" s="1" t="s">
        <v>0</v>
      </c>
      <c r="C2" s="2"/>
      <c r="D2" s="3" t="s">
        <v>1</v>
      </c>
      <c r="E2" s="4"/>
      <c r="F2" s="5"/>
      <c r="J2" s="6" t="s">
        <v>2</v>
      </c>
      <c r="K2" s="7" t="s">
        <v>3</v>
      </c>
      <c r="L2" s="8"/>
      <c r="M2" s="8"/>
      <c r="N2" s="8"/>
      <c r="O2" s="9"/>
    </row>
    <row r="3">
      <c r="B3" s="10" t="s">
        <v>4</v>
      </c>
      <c r="C3" s="9"/>
      <c r="D3" s="11" t="s">
        <v>5</v>
      </c>
      <c r="E3" s="8"/>
      <c r="F3" s="12"/>
      <c r="J3" s="13" t="s">
        <v>6</v>
      </c>
      <c r="K3" s="14" t="s">
        <v>7</v>
      </c>
      <c r="L3" s="14" t="s">
        <v>8</v>
      </c>
      <c r="M3" s="14" t="s">
        <v>9</v>
      </c>
      <c r="N3" s="14" t="s">
        <v>10</v>
      </c>
      <c r="O3" s="14" t="s">
        <v>11</v>
      </c>
    </row>
    <row r="4">
      <c r="B4" s="10" t="s">
        <v>12</v>
      </c>
      <c r="C4" s="9"/>
      <c r="D4" s="15" t="s">
        <v>13</v>
      </c>
      <c r="E4" s="8"/>
      <c r="F4" s="12"/>
      <c r="J4" s="13" t="s">
        <v>14</v>
      </c>
      <c r="K4" s="14" t="s">
        <v>15</v>
      </c>
      <c r="L4" s="14" t="s">
        <v>16</v>
      </c>
      <c r="M4" s="14" t="s">
        <v>17</v>
      </c>
      <c r="N4" s="16"/>
      <c r="O4" s="16"/>
    </row>
    <row r="5">
      <c r="B5" s="10" t="s">
        <v>18</v>
      </c>
      <c r="C5" s="9"/>
      <c r="D5" s="11" t="s">
        <v>19</v>
      </c>
      <c r="E5" s="8"/>
      <c r="F5" s="12"/>
      <c r="J5" s="17" t="s">
        <v>20</v>
      </c>
      <c r="K5" s="18" t="s">
        <v>21</v>
      </c>
      <c r="L5" s="19" t="s">
        <v>22</v>
      </c>
      <c r="M5" s="18" t="s">
        <v>23</v>
      </c>
      <c r="N5" s="18" t="s">
        <v>24</v>
      </c>
      <c r="O5" s="20"/>
    </row>
    <row r="6">
      <c r="B6" s="21" t="s">
        <v>25</v>
      </c>
      <c r="C6" s="22"/>
      <c r="D6" s="23" t="s">
        <v>26</v>
      </c>
      <c r="E6" s="24"/>
      <c r="F6" s="25"/>
      <c r="J6" s="13" t="s">
        <v>27</v>
      </c>
      <c r="K6" s="14" t="s">
        <v>28</v>
      </c>
      <c r="L6" s="14" t="s">
        <v>29</v>
      </c>
      <c r="M6" s="14" t="s">
        <v>30</v>
      </c>
      <c r="N6" s="16"/>
      <c r="O6" s="16"/>
    </row>
    <row r="10">
      <c r="A10" s="26" t="s">
        <v>31</v>
      </c>
      <c r="B10" s="26" t="s">
        <v>32</v>
      </c>
      <c r="C10" s="26" t="s">
        <v>33</v>
      </c>
      <c r="D10" s="26" t="s">
        <v>6</v>
      </c>
      <c r="E10" s="26" t="s">
        <v>34</v>
      </c>
      <c r="F10" s="26" t="s">
        <v>35</v>
      </c>
      <c r="G10" s="26" t="s">
        <v>27</v>
      </c>
      <c r="H10" s="26" t="s">
        <v>14</v>
      </c>
      <c r="I10" s="26" t="s">
        <v>36</v>
      </c>
      <c r="J10" s="26" t="s">
        <v>37</v>
      </c>
      <c r="K10" s="26" t="s">
        <v>38</v>
      </c>
      <c r="L10" s="26" t="s">
        <v>39</v>
      </c>
      <c r="M10" s="26" t="s">
        <v>40</v>
      </c>
      <c r="N10" s="26" t="s">
        <v>20</v>
      </c>
    </row>
    <row r="11">
      <c r="A11" s="27" t="s">
        <v>41</v>
      </c>
      <c r="B11" s="28" t="s">
        <v>42</v>
      </c>
      <c r="C11" s="28" t="s">
        <v>43</v>
      </c>
      <c r="D11" s="29" t="s">
        <v>44</v>
      </c>
      <c r="E11" s="28" t="s">
        <v>45</v>
      </c>
      <c r="F11" s="28" t="s">
        <v>46</v>
      </c>
      <c r="G11" s="30">
        <v>0.55</v>
      </c>
      <c r="H11" s="30">
        <v>0.5</v>
      </c>
      <c r="I11" s="30">
        <f t="shared" ref="I11:I29" si="1">G11*H11</f>
        <v>0.275</v>
      </c>
      <c r="J11" s="28" t="s">
        <v>47</v>
      </c>
      <c r="K11" s="28" t="s">
        <v>48</v>
      </c>
      <c r="L11" s="28" t="s">
        <v>49</v>
      </c>
      <c r="M11" s="31" t="s">
        <v>13</v>
      </c>
      <c r="N11" s="31" t="s">
        <v>50</v>
      </c>
    </row>
    <row r="12">
      <c r="A12" s="27" t="s">
        <v>51</v>
      </c>
      <c r="B12" s="32" t="s">
        <v>52</v>
      </c>
      <c r="C12" s="32" t="s">
        <v>53</v>
      </c>
      <c r="D12" s="33" t="s">
        <v>44</v>
      </c>
      <c r="E12" s="32" t="s">
        <v>54</v>
      </c>
      <c r="F12" s="32" t="s">
        <v>55</v>
      </c>
      <c r="G12" s="34">
        <v>0.5</v>
      </c>
      <c r="H12" s="34">
        <v>0.9</v>
      </c>
      <c r="I12" s="34">
        <f t="shared" si="1"/>
        <v>0.45</v>
      </c>
      <c r="J12" s="32" t="s">
        <v>56</v>
      </c>
      <c r="K12" s="32" t="s">
        <v>57</v>
      </c>
      <c r="L12" s="32" t="s">
        <v>49</v>
      </c>
      <c r="M12" s="32" t="s">
        <v>13</v>
      </c>
      <c r="N12" s="32" t="s">
        <v>58</v>
      </c>
    </row>
    <row r="13">
      <c r="A13" s="27" t="s">
        <v>59</v>
      </c>
      <c r="B13" s="28" t="s">
        <v>60</v>
      </c>
      <c r="C13" s="28" t="s">
        <v>61</v>
      </c>
      <c r="D13" s="29" t="s">
        <v>44</v>
      </c>
      <c r="E13" s="28" t="s">
        <v>62</v>
      </c>
      <c r="F13" s="28" t="s">
        <v>63</v>
      </c>
      <c r="G13" s="30">
        <v>0.2</v>
      </c>
      <c r="H13" s="30">
        <v>0.85</v>
      </c>
      <c r="I13" s="30">
        <f t="shared" si="1"/>
        <v>0.17</v>
      </c>
      <c r="J13" s="28" t="s">
        <v>64</v>
      </c>
      <c r="K13" s="28" t="s">
        <v>65</v>
      </c>
      <c r="L13" s="28" t="s">
        <v>66</v>
      </c>
      <c r="M13" s="28" t="s">
        <v>13</v>
      </c>
      <c r="N13" s="31" t="s">
        <v>58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>
      <c r="A14" s="27" t="s">
        <v>67</v>
      </c>
      <c r="B14" s="32" t="s">
        <v>68</v>
      </c>
      <c r="C14" s="32" t="s">
        <v>69</v>
      </c>
      <c r="D14" s="33" t="s">
        <v>70</v>
      </c>
      <c r="E14" s="32" t="s">
        <v>71</v>
      </c>
      <c r="F14" s="32" t="s">
        <v>72</v>
      </c>
      <c r="G14" s="34">
        <v>0.55</v>
      </c>
      <c r="H14" s="34">
        <v>0.9</v>
      </c>
      <c r="I14" s="34">
        <f t="shared" si="1"/>
        <v>0.495</v>
      </c>
      <c r="J14" s="32" t="s">
        <v>73</v>
      </c>
      <c r="K14" s="32" t="s">
        <v>74</v>
      </c>
      <c r="L14" s="32" t="s">
        <v>66</v>
      </c>
      <c r="M14" s="32" t="s">
        <v>13</v>
      </c>
      <c r="N14" s="32" t="s">
        <v>58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>
      <c r="A15" s="27" t="s">
        <v>75</v>
      </c>
      <c r="B15" s="28" t="s">
        <v>76</v>
      </c>
      <c r="C15" s="28" t="s">
        <v>77</v>
      </c>
      <c r="D15" s="29" t="s">
        <v>70</v>
      </c>
      <c r="E15" s="28" t="s">
        <v>78</v>
      </c>
      <c r="F15" s="28" t="s">
        <v>79</v>
      </c>
      <c r="G15" s="30">
        <v>0.25</v>
      </c>
      <c r="H15" s="30">
        <v>0.45</v>
      </c>
      <c r="I15" s="30">
        <f t="shared" si="1"/>
        <v>0.1125</v>
      </c>
      <c r="J15" s="28" t="s">
        <v>80</v>
      </c>
      <c r="K15" s="28" t="s">
        <v>81</v>
      </c>
      <c r="L15" s="28" t="s">
        <v>66</v>
      </c>
      <c r="M15" s="28" t="s">
        <v>13</v>
      </c>
      <c r="N15" s="31" t="s">
        <v>50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>
      <c r="A16" s="27" t="s">
        <v>82</v>
      </c>
      <c r="B16" s="36" t="s">
        <v>83</v>
      </c>
      <c r="C16" s="36" t="s">
        <v>84</v>
      </c>
      <c r="D16" s="37" t="s">
        <v>70</v>
      </c>
      <c r="E16" s="36" t="s">
        <v>85</v>
      </c>
      <c r="F16" s="36" t="s">
        <v>86</v>
      </c>
      <c r="G16" s="38">
        <v>0.45</v>
      </c>
      <c r="H16" s="38">
        <v>0.5</v>
      </c>
      <c r="I16" s="34">
        <f t="shared" si="1"/>
        <v>0.225</v>
      </c>
      <c r="J16" s="36" t="s">
        <v>87</v>
      </c>
      <c r="K16" s="36" t="s">
        <v>88</v>
      </c>
      <c r="L16" s="36" t="s">
        <v>49</v>
      </c>
      <c r="M16" s="32" t="s">
        <v>13</v>
      </c>
      <c r="N16" s="36" t="s">
        <v>58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>
      <c r="A17" s="27" t="s">
        <v>89</v>
      </c>
      <c r="B17" s="28" t="s">
        <v>90</v>
      </c>
      <c r="C17" s="28" t="s">
        <v>91</v>
      </c>
      <c r="D17" s="29" t="s">
        <v>70</v>
      </c>
      <c r="E17" s="28" t="s">
        <v>92</v>
      </c>
      <c r="F17" s="28" t="s">
        <v>93</v>
      </c>
      <c r="G17" s="30">
        <v>0.45</v>
      </c>
      <c r="H17" s="30">
        <v>0.5</v>
      </c>
      <c r="I17" s="30">
        <f t="shared" si="1"/>
        <v>0.225</v>
      </c>
      <c r="J17" s="28" t="s">
        <v>94</v>
      </c>
      <c r="K17" s="28" t="s">
        <v>95</v>
      </c>
      <c r="L17" s="28" t="s">
        <v>66</v>
      </c>
      <c r="M17" s="28" t="s">
        <v>13</v>
      </c>
      <c r="N17" s="28" t="s">
        <v>58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>
      <c r="A18" s="27" t="s">
        <v>96</v>
      </c>
      <c r="B18" s="32" t="s">
        <v>97</v>
      </c>
      <c r="C18" s="32" t="s">
        <v>98</v>
      </c>
      <c r="D18" s="33" t="s">
        <v>70</v>
      </c>
      <c r="E18" s="32" t="s">
        <v>99</v>
      </c>
      <c r="F18" s="32" t="s">
        <v>100</v>
      </c>
      <c r="G18" s="34">
        <v>0.2</v>
      </c>
      <c r="H18" s="34">
        <v>0.85</v>
      </c>
      <c r="I18" s="34">
        <f t="shared" si="1"/>
        <v>0.17</v>
      </c>
      <c r="J18" s="32" t="s">
        <v>101</v>
      </c>
      <c r="K18" s="32" t="s">
        <v>88</v>
      </c>
      <c r="L18" s="32" t="s">
        <v>49</v>
      </c>
      <c r="M18" s="32" t="s">
        <v>13</v>
      </c>
      <c r="N18" s="32" t="s">
        <v>58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>
      <c r="A19" s="27" t="s">
        <v>102</v>
      </c>
      <c r="B19" s="28" t="s">
        <v>103</v>
      </c>
      <c r="C19" s="28" t="s">
        <v>104</v>
      </c>
      <c r="D19" s="29" t="s">
        <v>70</v>
      </c>
      <c r="E19" s="28" t="s">
        <v>105</v>
      </c>
      <c r="F19" s="28" t="s">
        <v>106</v>
      </c>
      <c r="G19" s="30">
        <v>0.5</v>
      </c>
      <c r="H19" s="30">
        <v>0.5</v>
      </c>
      <c r="I19" s="30">
        <f t="shared" si="1"/>
        <v>0.25</v>
      </c>
      <c r="J19" s="28" t="s">
        <v>107</v>
      </c>
      <c r="K19" s="28" t="s">
        <v>108</v>
      </c>
      <c r="L19" s="28" t="s">
        <v>66</v>
      </c>
      <c r="M19" s="28" t="s">
        <v>13</v>
      </c>
      <c r="N19" s="31" t="s">
        <v>50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>
      <c r="A20" s="27" t="s">
        <v>109</v>
      </c>
      <c r="B20" s="32" t="s">
        <v>110</v>
      </c>
      <c r="C20" s="32" t="s">
        <v>111</v>
      </c>
      <c r="D20" s="33" t="s">
        <v>70</v>
      </c>
      <c r="E20" s="32" t="s">
        <v>112</v>
      </c>
      <c r="F20" s="32" t="s">
        <v>113</v>
      </c>
      <c r="G20" s="34">
        <v>0.5</v>
      </c>
      <c r="H20" s="34">
        <v>0.5</v>
      </c>
      <c r="I20" s="34">
        <f t="shared" si="1"/>
        <v>0.25</v>
      </c>
      <c r="J20" s="32" t="s">
        <v>114</v>
      </c>
      <c r="K20" s="32" t="s">
        <v>115</v>
      </c>
      <c r="L20" s="32" t="s">
        <v>66</v>
      </c>
      <c r="M20" s="32" t="s">
        <v>13</v>
      </c>
      <c r="N20" s="32" t="s">
        <v>58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15.75" customHeight="1">
      <c r="A21" s="27" t="s">
        <v>116</v>
      </c>
      <c r="B21" s="28" t="s">
        <v>117</v>
      </c>
      <c r="C21" s="28" t="s">
        <v>118</v>
      </c>
      <c r="D21" s="29" t="s">
        <v>70</v>
      </c>
      <c r="E21" s="28" t="s">
        <v>119</v>
      </c>
      <c r="F21" s="28" t="s">
        <v>120</v>
      </c>
      <c r="G21" s="30">
        <v>0.5</v>
      </c>
      <c r="H21" s="30">
        <v>0.5</v>
      </c>
      <c r="I21" s="30">
        <f t="shared" si="1"/>
        <v>0.25</v>
      </c>
      <c r="J21" s="28" t="s">
        <v>121</v>
      </c>
      <c r="K21" s="28" t="s">
        <v>122</v>
      </c>
      <c r="L21" s="28" t="s">
        <v>66</v>
      </c>
      <c r="M21" s="31" t="s">
        <v>13</v>
      </c>
      <c r="N21" s="31" t="s">
        <v>50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ht="15.75" customHeight="1">
      <c r="A22" s="27" t="s">
        <v>123</v>
      </c>
      <c r="B22" s="32" t="s">
        <v>124</v>
      </c>
      <c r="C22" s="32" t="s">
        <v>125</v>
      </c>
      <c r="D22" s="33" t="s">
        <v>126</v>
      </c>
      <c r="E22" s="32" t="s">
        <v>127</v>
      </c>
      <c r="F22" s="32" t="s">
        <v>128</v>
      </c>
      <c r="G22" s="34">
        <v>0.45</v>
      </c>
      <c r="H22" s="34">
        <v>0.55</v>
      </c>
      <c r="I22" s="34">
        <f t="shared" si="1"/>
        <v>0.2475</v>
      </c>
      <c r="J22" s="32" t="s">
        <v>129</v>
      </c>
      <c r="K22" s="32" t="s">
        <v>130</v>
      </c>
      <c r="L22" s="32" t="s">
        <v>66</v>
      </c>
      <c r="M22" s="32" t="s">
        <v>13</v>
      </c>
      <c r="N22" s="32" t="s">
        <v>58</v>
      </c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ht="15.75" customHeight="1">
      <c r="A23" s="27" t="s">
        <v>131</v>
      </c>
      <c r="B23" s="28" t="s">
        <v>132</v>
      </c>
      <c r="C23" s="28" t="s">
        <v>133</v>
      </c>
      <c r="D23" s="29" t="s">
        <v>134</v>
      </c>
      <c r="E23" s="28" t="s">
        <v>135</v>
      </c>
      <c r="F23" s="28" t="s">
        <v>136</v>
      </c>
      <c r="G23" s="30">
        <v>0.45</v>
      </c>
      <c r="H23" s="30">
        <v>0.5</v>
      </c>
      <c r="I23" s="30">
        <f t="shared" si="1"/>
        <v>0.225</v>
      </c>
      <c r="J23" s="28" t="s">
        <v>137</v>
      </c>
      <c r="K23" s="28" t="s">
        <v>138</v>
      </c>
      <c r="L23" s="28" t="s">
        <v>49</v>
      </c>
      <c r="M23" s="31" t="s">
        <v>13</v>
      </c>
      <c r="N23" s="31" t="s">
        <v>58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ht="15.75" customHeight="1">
      <c r="A24" s="27" t="s">
        <v>139</v>
      </c>
      <c r="B24" s="32" t="s">
        <v>140</v>
      </c>
      <c r="C24" s="32" t="s">
        <v>141</v>
      </c>
      <c r="D24" s="33" t="s">
        <v>134</v>
      </c>
      <c r="E24" s="32" t="s">
        <v>142</v>
      </c>
      <c r="F24" s="32" t="s">
        <v>143</v>
      </c>
      <c r="G24" s="34">
        <v>0.45</v>
      </c>
      <c r="H24" s="34">
        <v>0.5</v>
      </c>
      <c r="I24" s="34">
        <f t="shared" si="1"/>
        <v>0.225</v>
      </c>
      <c r="J24" s="32" t="s">
        <v>144</v>
      </c>
      <c r="K24" s="32" t="s">
        <v>145</v>
      </c>
      <c r="L24" s="32" t="s">
        <v>66</v>
      </c>
      <c r="M24" s="32" t="s">
        <v>13</v>
      </c>
      <c r="N24" s="39" t="s">
        <v>146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ht="15.75" customHeight="1">
      <c r="A25" s="27" t="s">
        <v>147</v>
      </c>
      <c r="B25" s="28" t="s">
        <v>148</v>
      </c>
      <c r="C25" s="28" t="s">
        <v>149</v>
      </c>
      <c r="D25" s="29" t="s">
        <v>134</v>
      </c>
      <c r="E25" s="28" t="s">
        <v>150</v>
      </c>
      <c r="F25" s="28" t="s">
        <v>151</v>
      </c>
      <c r="G25" s="30">
        <v>0.2</v>
      </c>
      <c r="H25" s="30">
        <v>0.4</v>
      </c>
      <c r="I25" s="30">
        <f t="shared" si="1"/>
        <v>0.08</v>
      </c>
      <c r="J25" s="28" t="s">
        <v>152</v>
      </c>
      <c r="K25" s="28" t="s">
        <v>153</v>
      </c>
      <c r="L25" s="28" t="s">
        <v>66</v>
      </c>
      <c r="M25" s="31" t="s">
        <v>13</v>
      </c>
      <c r="N25" s="31" t="s">
        <v>50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 ht="15.75" customHeight="1">
      <c r="A26" s="27" t="s">
        <v>154</v>
      </c>
      <c r="B26" s="32" t="s">
        <v>155</v>
      </c>
      <c r="C26" s="32" t="s">
        <v>156</v>
      </c>
      <c r="D26" s="33" t="s">
        <v>126</v>
      </c>
      <c r="E26" s="32" t="s">
        <v>157</v>
      </c>
      <c r="F26" s="32" t="s">
        <v>158</v>
      </c>
      <c r="G26" s="34">
        <v>0.2</v>
      </c>
      <c r="H26" s="34">
        <v>0.4</v>
      </c>
      <c r="I26" s="34">
        <f t="shared" si="1"/>
        <v>0.08</v>
      </c>
      <c r="J26" s="32" t="s">
        <v>159</v>
      </c>
      <c r="K26" s="32" t="s">
        <v>160</v>
      </c>
      <c r="L26" s="32" t="s">
        <v>66</v>
      </c>
      <c r="M26" s="32" t="s">
        <v>13</v>
      </c>
      <c r="N26" s="32" t="s">
        <v>58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ht="15.75" customHeight="1">
      <c r="A27" s="27" t="s">
        <v>161</v>
      </c>
      <c r="B27" s="28" t="s">
        <v>162</v>
      </c>
      <c r="C27" s="28" t="s">
        <v>163</v>
      </c>
      <c r="D27" s="29" t="s">
        <v>164</v>
      </c>
      <c r="E27" s="28" t="s">
        <v>165</v>
      </c>
      <c r="F27" s="28" t="s">
        <v>166</v>
      </c>
      <c r="G27" s="30">
        <v>0.75</v>
      </c>
      <c r="H27" s="30">
        <v>0.55</v>
      </c>
      <c r="I27" s="30">
        <f t="shared" si="1"/>
        <v>0.4125</v>
      </c>
      <c r="J27" s="28" t="s">
        <v>167</v>
      </c>
      <c r="K27" s="28" t="s">
        <v>168</v>
      </c>
      <c r="L27" s="28" t="s">
        <v>66</v>
      </c>
      <c r="M27" s="31" t="s">
        <v>13</v>
      </c>
      <c r="N27" s="28" t="s">
        <v>58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ht="15.75" customHeight="1">
      <c r="A28" s="27" t="s">
        <v>169</v>
      </c>
      <c r="B28" s="32" t="s">
        <v>170</v>
      </c>
      <c r="C28" s="32" t="s">
        <v>171</v>
      </c>
      <c r="D28" s="33" t="s">
        <v>164</v>
      </c>
      <c r="E28" s="32" t="s">
        <v>172</v>
      </c>
      <c r="F28" s="32" t="s">
        <v>173</v>
      </c>
      <c r="G28" s="34">
        <v>0.55</v>
      </c>
      <c r="H28" s="34">
        <v>0.55</v>
      </c>
      <c r="I28" s="34">
        <f t="shared" si="1"/>
        <v>0.3025</v>
      </c>
      <c r="J28" s="32" t="s">
        <v>174</v>
      </c>
      <c r="K28" s="32" t="s">
        <v>175</v>
      </c>
      <c r="L28" s="32" t="s">
        <v>66</v>
      </c>
      <c r="M28" s="32" t="s">
        <v>13</v>
      </c>
      <c r="N28" s="32" t="s">
        <v>58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ht="15.75" customHeight="1">
      <c r="A29" s="27" t="s">
        <v>176</v>
      </c>
      <c r="B29" s="28" t="s">
        <v>177</v>
      </c>
      <c r="C29" s="28" t="s">
        <v>178</v>
      </c>
      <c r="D29" s="29" t="s">
        <v>164</v>
      </c>
      <c r="E29" s="28" t="s">
        <v>179</v>
      </c>
      <c r="F29" s="28" t="s">
        <v>180</v>
      </c>
      <c r="G29" s="30">
        <v>0.75</v>
      </c>
      <c r="H29" s="30">
        <v>0.55</v>
      </c>
      <c r="I29" s="30">
        <f t="shared" si="1"/>
        <v>0.4125</v>
      </c>
      <c r="J29" s="28" t="s">
        <v>181</v>
      </c>
      <c r="K29" s="28" t="s">
        <v>182</v>
      </c>
      <c r="L29" s="28" t="s">
        <v>66</v>
      </c>
      <c r="M29" s="31" t="s">
        <v>13</v>
      </c>
      <c r="N29" s="28" t="s">
        <v>58</v>
      </c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5:C5"/>
    <mergeCell ref="D5:F5"/>
    <mergeCell ref="B6:C6"/>
    <mergeCell ref="D6:F6"/>
    <mergeCell ref="B2:C2"/>
    <mergeCell ref="D2:F2"/>
    <mergeCell ref="B3:C3"/>
    <mergeCell ref="D3:F3"/>
    <mergeCell ref="B4:C4"/>
    <mergeCell ref="D4:F4"/>
    <mergeCell ref="K2:O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3" max="13" width="22.57"/>
    <col customWidth="1" min="14" max="14" width="21.14"/>
  </cols>
  <sheetData>
    <row r="2">
      <c r="B2" s="1" t="s">
        <v>0</v>
      </c>
      <c r="C2" s="2"/>
      <c r="D2" s="3" t="s">
        <v>1</v>
      </c>
      <c r="E2" s="4"/>
      <c r="F2" s="5"/>
      <c r="J2" s="6" t="s">
        <v>2</v>
      </c>
      <c r="K2" s="7" t="s">
        <v>3</v>
      </c>
      <c r="L2" s="8"/>
      <c r="M2" s="8"/>
      <c r="N2" s="8"/>
      <c r="O2" s="9"/>
    </row>
    <row r="3">
      <c r="B3" s="10" t="s">
        <v>4</v>
      </c>
      <c r="C3" s="9"/>
      <c r="D3" s="11" t="s">
        <v>5</v>
      </c>
      <c r="E3" s="8"/>
      <c r="F3" s="12"/>
      <c r="J3" s="13" t="s">
        <v>6</v>
      </c>
      <c r="K3" s="14" t="s">
        <v>7</v>
      </c>
      <c r="L3" s="14" t="s">
        <v>8</v>
      </c>
      <c r="M3" s="14" t="s">
        <v>9</v>
      </c>
      <c r="N3" s="14" t="s">
        <v>10</v>
      </c>
      <c r="O3" s="14" t="s">
        <v>11</v>
      </c>
    </row>
    <row r="4">
      <c r="B4" s="41" t="s">
        <v>183</v>
      </c>
      <c r="C4" s="9"/>
      <c r="D4" s="15" t="s">
        <v>13</v>
      </c>
      <c r="E4" s="8"/>
      <c r="F4" s="12"/>
      <c r="J4" s="13" t="s">
        <v>14</v>
      </c>
      <c r="K4" s="14" t="s">
        <v>15</v>
      </c>
      <c r="L4" s="14" t="s">
        <v>16</v>
      </c>
      <c r="M4" s="14" t="s">
        <v>17</v>
      </c>
      <c r="N4" s="16"/>
      <c r="O4" s="16"/>
    </row>
    <row r="5">
      <c r="B5" s="10" t="s">
        <v>18</v>
      </c>
      <c r="C5" s="9"/>
      <c r="D5" s="11" t="s">
        <v>19</v>
      </c>
      <c r="E5" s="8"/>
      <c r="F5" s="12"/>
      <c r="J5" s="17" t="s">
        <v>20</v>
      </c>
      <c r="K5" s="18" t="s">
        <v>21</v>
      </c>
      <c r="L5" s="19" t="s">
        <v>22</v>
      </c>
      <c r="M5" s="18" t="s">
        <v>23</v>
      </c>
      <c r="N5" s="18" t="s">
        <v>24</v>
      </c>
      <c r="O5" s="20"/>
    </row>
    <row r="6">
      <c r="B6" s="21" t="s">
        <v>25</v>
      </c>
      <c r="C6" s="22"/>
      <c r="D6" s="23" t="s">
        <v>26</v>
      </c>
      <c r="E6" s="24"/>
      <c r="F6" s="25"/>
      <c r="J6" s="13" t="s">
        <v>27</v>
      </c>
      <c r="K6" s="14" t="s">
        <v>28</v>
      </c>
      <c r="L6" s="14" t="s">
        <v>29</v>
      </c>
      <c r="M6" s="14" t="s">
        <v>30</v>
      </c>
      <c r="N6" s="16"/>
      <c r="O6" s="16"/>
    </row>
    <row r="8">
      <c r="H8" s="42" t="s">
        <v>184</v>
      </c>
      <c r="I8" s="22"/>
    </row>
    <row r="10">
      <c r="A10" s="26" t="s">
        <v>31</v>
      </c>
      <c r="B10" s="26" t="s">
        <v>32</v>
      </c>
      <c r="C10" s="26" t="s">
        <v>33</v>
      </c>
      <c r="D10" s="26" t="s">
        <v>6</v>
      </c>
      <c r="E10" s="26" t="s">
        <v>34</v>
      </c>
      <c r="F10" s="26" t="s">
        <v>35</v>
      </c>
      <c r="G10" s="26" t="s">
        <v>27</v>
      </c>
      <c r="H10" s="26" t="s">
        <v>14</v>
      </c>
      <c r="I10" s="26" t="s">
        <v>36</v>
      </c>
      <c r="J10" s="26" t="s">
        <v>37</v>
      </c>
      <c r="K10" s="26" t="s">
        <v>38</v>
      </c>
      <c r="L10" s="26" t="s">
        <v>39</v>
      </c>
      <c r="M10" s="26" t="s">
        <v>40</v>
      </c>
      <c r="N10" s="26" t="s">
        <v>20</v>
      </c>
    </row>
    <row r="11">
      <c r="A11" s="43" t="s">
        <v>67</v>
      </c>
      <c r="B11" s="31" t="s">
        <v>68</v>
      </c>
      <c r="C11" s="31" t="s">
        <v>69</v>
      </c>
      <c r="D11" s="44" t="s">
        <v>70</v>
      </c>
      <c r="E11" s="31" t="s">
        <v>71</v>
      </c>
      <c r="F11" s="31" t="s">
        <v>72</v>
      </c>
      <c r="G11" s="30">
        <v>0.55</v>
      </c>
      <c r="H11" s="45">
        <v>0.9</v>
      </c>
      <c r="I11" s="30">
        <f t="shared" ref="I11:I20" si="1">G11*H11</f>
        <v>0.495</v>
      </c>
      <c r="J11" s="31" t="s">
        <v>73</v>
      </c>
      <c r="K11" s="31" t="s">
        <v>74</v>
      </c>
      <c r="L11" s="31" t="s">
        <v>66</v>
      </c>
      <c r="M11" s="31" t="s">
        <v>13</v>
      </c>
      <c r="N11" s="31" t="s">
        <v>58</v>
      </c>
    </row>
    <row r="12">
      <c r="A12" s="27" t="s">
        <v>51</v>
      </c>
      <c r="B12" s="32" t="s">
        <v>52</v>
      </c>
      <c r="C12" s="32" t="s">
        <v>53</v>
      </c>
      <c r="D12" s="33" t="s">
        <v>44</v>
      </c>
      <c r="E12" s="32" t="s">
        <v>54</v>
      </c>
      <c r="F12" s="32" t="s">
        <v>55</v>
      </c>
      <c r="G12" s="34">
        <v>0.5</v>
      </c>
      <c r="H12" s="34">
        <v>0.9</v>
      </c>
      <c r="I12" s="34">
        <f t="shared" si="1"/>
        <v>0.45</v>
      </c>
      <c r="J12" s="32" t="s">
        <v>56</v>
      </c>
      <c r="K12" s="32" t="s">
        <v>57</v>
      </c>
      <c r="L12" s="32" t="s">
        <v>49</v>
      </c>
      <c r="M12" s="32" t="s">
        <v>13</v>
      </c>
      <c r="N12" s="32" t="s">
        <v>58</v>
      </c>
    </row>
    <row r="13">
      <c r="A13" s="27" t="s">
        <v>161</v>
      </c>
      <c r="B13" s="28" t="s">
        <v>162</v>
      </c>
      <c r="C13" s="28" t="s">
        <v>163</v>
      </c>
      <c r="D13" s="29" t="s">
        <v>164</v>
      </c>
      <c r="E13" s="28" t="s">
        <v>165</v>
      </c>
      <c r="F13" s="28" t="s">
        <v>166</v>
      </c>
      <c r="G13" s="30">
        <v>0.75</v>
      </c>
      <c r="H13" s="30">
        <v>0.55</v>
      </c>
      <c r="I13" s="30">
        <f t="shared" si="1"/>
        <v>0.4125</v>
      </c>
      <c r="J13" s="28" t="s">
        <v>167</v>
      </c>
      <c r="K13" s="28" t="s">
        <v>168</v>
      </c>
      <c r="L13" s="28" t="s">
        <v>66</v>
      </c>
      <c r="M13" s="31" t="s">
        <v>13</v>
      </c>
      <c r="N13" s="28" t="s">
        <v>58</v>
      </c>
    </row>
    <row r="14">
      <c r="A14" s="27" t="s">
        <v>176</v>
      </c>
      <c r="B14" s="32" t="s">
        <v>177</v>
      </c>
      <c r="C14" s="32" t="s">
        <v>178</v>
      </c>
      <c r="D14" s="33" t="s">
        <v>164</v>
      </c>
      <c r="E14" s="32" t="s">
        <v>179</v>
      </c>
      <c r="F14" s="32" t="s">
        <v>180</v>
      </c>
      <c r="G14" s="34">
        <v>0.75</v>
      </c>
      <c r="H14" s="34">
        <v>0.55</v>
      </c>
      <c r="I14" s="34">
        <f t="shared" si="1"/>
        <v>0.4125</v>
      </c>
      <c r="J14" s="32" t="s">
        <v>181</v>
      </c>
      <c r="K14" s="32" t="s">
        <v>182</v>
      </c>
      <c r="L14" s="32" t="s">
        <v>66</v>
      </c>
      <c r="M14" s="39" t="s">
        <v>13</v>
      </c>
      <c r="N14" s="32" t="s">
        <v>58</v>
      </c>
    </row>
    <row r="15">
      <c r="A15" s="27" t="s">
        <v>169</v>
      </c>
      <c r="B15" s="28" t="s">
        <v>170</v>
      </c>
      <c r="C15" s="28" t="s">
        <v>171</v>
      </c>
      <c r="D15" s="29" t="s">
        <v>164</v>
      </c>
      <c r="E15" s="28" t="s">
        <v>172</v>
      </c>
      <c r="F15" s="28" t="s">
        <v>173</v>
      </c>
      <c r="G15" s="30">
        <v>0.55</v>
      </c>
      <c r="H15" s="30">
        <v>0.55</v>
      </c>
      <c r="I15" s="30">
        <f t="shared" si="1"/>
        <v>0.3025</v>
      </c>
      <c r="J15" s="28" t="s">
        <v>174</v>
      </c>
      <c r="K15" s="28" t="s">
        <v>175</v>
      </c>
      <c r="L15" s="28" t="s">
        <v>66</v>
      </c>
      <c r="M15" s="28" t="s">
        <v>13</v>
      </c>
      <c r="N15" s="28" t="s">
        <v>58</v>
      </c>
    </row>
    <row r="16">
      <c r="A16" s="27" t="s">
        <v>41</v>
      </c>
      <c r="B16" s="32" t="s">
        <v>42</v>
      </c>
      <c r="C16" s="32" t="s">
        <v>43</v>
      </c>
      <c r="D16" s="33" t="s">
        <v>44</v>
      </c>
      <c r="E16" s="32" t="s">
        <v>45</v>
      </c>
      <c r="F16" s="32" t="s">
        <v>46</v>
      </c>
      <c r="G16" s="34">
        <v>0.55</v>
      </c>
      <c r="H16" s="34">
        <v>0.5</v>
      </c>
      <c r="I16" s="34">
        <f t="shared" si="1"/>
        <v>0.275</v>
      </c>
      <c r="J16" s="32" t="s">
        <v>47</v>
      </c>
      <c r="K16" s="32" t="s">
        <v>48</v>
      </c>
      <c r="L16" s="32" t="s">
        <v>49</v>
      </c>
      <c r="M16" s="39" t="s">
        <v>13</v>
      </c>
      <c r="N16" s="39" t="s">
        <v>50</v>
      </c>
    </row>
    <row r="17">
      <c r="A17" s="27" t="s">
        <v>102</v>
      </c>
      <c r="B17" s="28" t="s">
        <v>103</v>
      </c>
      <c r="C17" s="28" t="s">
        <v>104</v>
      </c>
      <c r="D17" s="29" t="s">
        <v>70</v>
      </c>
      <c r="E17" s="28" t="s">
        <v>105</v>
      </c>
      <c r="F17" s="28" t="s">
        <v>106</v>
      </c>
      <c r="G17" s="30">
        <v>0.5</v>
      </c>
      <c r="H17" s="30">
        <v>0.5</v>
      </c>
      <c r="I17" s="30">
        <f t="shared" si="1"/>
        <v>0.25</v>
      </c>
      <c r="J17" s="28" t="s">
        <v>107</v>
      </c>
      <c r="K17" s="28" t="s">
        <v>108</v>
      </c>
      <c r="L17" s="28" t="s">
        <v>66</v>
      </c>
      <c r="M17" s="28" t="s">
        <v>13</v>
      </c>
      <c r="N17" s="31" t="s">
        <v>50</v>
      </c>
    </row>
    <row r="18">
      <c r="A18" s="27" t="s">
        <v>109</v>
      </c>
      <c r="B18" s="32" t="s">
        <v>110</v>
      </c>
      <c r="C18" s="32" t="s">
        <v>111</v>
      </c>
      <c r="D18" s="33" t="s">
        <v>70</v>
      </c>
      <c r="E18" s="32" t="s">
        <v>112</v>
      </c>
      <c r="F18" s="32" t="s">
        <v>113</v>
      </c>
      <c r="G18" s="34">
        <v>0.5</v>
      </c>
      <c r="H18" s="34">
        <v>0.5</v>
      </c>
      <c r="I18" s="34">
        <f t="shared" si="1"/>
        <v>0.25</v>
      </c>
      <c r="J18" s="32" t="s">
        <v>114</v>
      </c>
      <c r="K18" s="32" t="s">
        <v>115</v>
      </c>
      <c r="L18" s="32" t="s">
        <v>66</v>
      </c>
      <c r="M18" s="32" t="s">
        <v>13</v>
      </c>
      <c r="N18" s="32" t="s">
        <v>58</v>
      </c>
    </row>
    <row r="19">
      <c r="A19" s="27" t="s">
        <v>116</v>
      </c>
      <c r="B19" s="28" t="s">
        <v>117</v>
      </c>
      <c r="C19" s="28" t="s">
        <v>118</v>
      </c>
      <c r="D19" s="29" t="s">
        <v>70</v>
      </c>
      <c r="E19" s="28" t="s">
        <v>119</v>
      </c>
      <c r="F19" s="28" t="s">
        <v>120</v>
      </c>
      <c r="G19" s="30">
        <v>0.5</v>
      </c>
      <c r="H19" s="30">
        <v>0.5</v>
      </c>
      <c r="I19" s="30">
        <f t="shared" si="1"/>
        <v>0.25</v>
      </c>
      <c r="J19" s="28" t="s">
        <v>121</v>
      </c>
      <c r="K19" s="28" t="s">
        <v>122</v>
      </c>
      <c r="L19" s="28" t="s">
        <v>66</v>
      </c>
      <c r="M19" s="31" t="s">
        <v>13</v>
      </c>
      <c r="N19" s="31" t="s">
        <v>50</v>
      </c>
    </row>
    <row r="20">
      <c r="A20" s="27" t="s">
        <v>123</v>
      </c>
      <c r="B20" s="32" t="s">
        <v>124</v>
      </c>
      <c r="C20" s="32" t="s">
        <v>125</v>
      </c>
      <c r="D20" s="33" t="s">
        <v>126</v>
      </c>
      <c r="E20" s="32" t="s">
        <v>127</v>
      </c>
      <c r="F20" s="32" t="s">
        <v>128</v>
      </c>
      <c r="G20" s="34">
        <v>0.45</v>
      </c>
      <c r="H20" s="34">
        <v>0.55</v>
      </c>
      <c r="I20" s="34">
        <f t="shared" si="1"/>
        <v>0.2475</v>
      </c>
      <c r="J20" s="32" t="s">
        <v>129</v>
      </c>
      <c r="K20" s="32" t="s">
        <v>130</v>
      </c>
      <c r="L20" s="32" t="s">
        <v>66</v>
      </c>
      <c r="M20" s="32" t="s">
        <v>13</v>
      </c>
      <c r="N20" s="32" t="s">
        <v>58</v>
      </c>
    </row>
  </sheetData>
  <mergeCells count="12">
    <mergeCell ref="B3:C3"/>
    <mergeCell ref="B4:C4"/>
    <mergeCell ref="K2:O2"/>
    <mergeCell ref="D6:F6"/>
    <mergeCell ref="H8:I8"/>
    <mergeCell ref="B5:C5"/>
    <mergeCell ref="D5:F5"/>
    <mergeCell ref="B6:C6"/>
    <mergeCell ref="B2:C2"/>
    <mergeCell ref="D2:F2"/>
    <mergeCell ref="D3:F3"/>
    <mergeCell ref="D4:F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2025-11-13T10:38:29Z</dcterms:created>
  <dc:creator>openpyxl</dc:creator>
</cp:coreProperties>
</file>